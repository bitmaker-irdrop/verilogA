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il Applications" sheetId="1" state="visible" r:id="rId3"/>
    <sheet name="Power Dissipation" sheetId="2" state="visible" r:id="rId4"/>
    <sheet name="Trim Architectu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<sst xmlns="http://schemas.openxmlformats.org/spreadsheetml/2006/main" count="74" uniqueCount="73">
  <si>
    <t xml:space="preserve">Universal LDO — Output Rail Applications</t>
  </si>
  <si>
    <t xml:space="preserve">Output rails the regulator must be able to generate, and where each is typically used.</t>
  </si>
  <si>
    <t xml:space="preserve">Output Rail (V)</t>
  </si>
  <si>
    <t xml:space="preserve">Typical Applications</t>
  </si>
  <si>
    <t xml:space="preserve">LPDDR5 VDDQ; near-threshold / ultra-low-voltage digital cores</t>
  </si>
  <si>
    <t xml:space="preserve">FinFET SoC / CPU / GPU core (DVFS / AVS); low-power digital logic</t>
  </si>
  <si>
    <t xml:space="preserve">Analog FinFET core; PLL / analog domain supply</t>
  </si>
  <si>
    <t xml:space="preserve">DDR5 VDD; LPDDR4 / LPDDR4X core</t>
  </si>
  <si>
    <t xml:space="preserve">DDR4 VDD / VDDQ; thin-oxide I/O; SerDes core</t>
  </si>
  <si>
    <t xml:space="preserve">DDR3L</t>
  </si>
  <si>
    <t xml:space="preserve">DDR3; HDMI / analog PHY; general-purpose I/O</t>
  </si>
  <si>
    <t xml:space="preserve">DDR2; general I/O; NOR/eMMC flash; sensors; level shifters; MIPI</t>
  </si>
  <si>
    <t xml:space="preserve">DDR1; LVDS; analog / PLL supply; legacy I/O</t>
  </si>
  <si>
    <t xml:space="preserve">General GPIO / I/O; SPI / UART / I2C; USB PHY; SD / eMMC; CAN; sensors</t>
  </si>
  <si>
    <t xml:space="preserve">Power Dissipation — HV (5V) pass transistor</t>
  </si>
  <si>
    <t xml:space="preserve">P_main_max (W):</t>
  </si>
  <si>
    <t xml:space="preserve">I_low (A):</t>
  </si>
  <si>
    <t xml:space="preserve">I_high (A):</t>
  </si>
  <si>
    <t xml:space="preserve">Blue = editable input. Dropout / power / class are live formulas. Sorted by power (ascending). HV (5V) transistor only; Vin &lt; 1.5 V transitions removed.</t>
  </si>
  <si>
    <t xml:space="preserve">Vin (V)</t>
  </si>
  <si>
    <t xml:space="preserve">Vout (V)</t>
  </si>
  <si>
    <t xml:space="preserve">Dropout (V)</t>
  </si>
  <si>
    <t xml:space="preserve">P @I_low (W)</t>
  </si>
  <si>
    <t xml:space="preserve">P @I_high (W)</t>
  </si>
  <si>
    <t xml:space="preserve">Class @I_low</t>
  </si>
  <si>
    <t xml:space="preserve">Class @I_high</t>
  </si>
  <si>
    <t xml:space="preserve">All variants use the 5V (HV) pass transistor, sized thermally by max power (max dropout x current). Green = Main (within P_main_max), red = On request (needs large area / thermal management).</t>
  </si>
  <si>
    <t xml:space="preserve">Orange rows (Vin = 1.5 V): boundary of the 5V (HV) device — requires validation.</t>
  </si>
  <si>
    <t xml:space="preserve">Trim Architecture — Coarse State Select + Fine Trim</t>
  </si>
  <si>
    <t xml:space="preserve">Primary (coarse) bits select the operating state; fine trim then fills the remaining grid.</t>
  </si>
  <si>
    <t xml:space="preserve">1)  Coarse states  —  selected by primary bits</t>
  </si>
  <si>
    <t xml:space="preserve">State</t>
  </si>
  <si>
    <t xml:space="preserve">Voltage (V)</t>
  </si>
  <si>
    <t xml:space="preserve">Domain / application</t>
  </si>
  <si>
    <t xml:space="preserve">FinFET core — DIGITAL</t>
  </si>
  <si>
    <t xml:space="preserve">Digital core default (boot / start state)</t>
  </si>
  <si>
    <t xml:space="preserve">FinFET core — ANALOG</t>
  </si>
  <si>
    <t xml:space="preserve">Analog / mixed-signal domain</t>
  </si>
  <si>
    <t xml:space="preserve">DDR5 / LPDDR4</t>
  </si>
  <si>
    <t xml:space="preserve">Memory VDD</t>
  </si>
  <si>
    <t xml:space="preserve">DDR4</t>
  </si>
  <si>
    <t xml:space="preserve">Memory VDD / VDDQ; thin-oxide I/O</t>
  </si>
  <si>
    <t xml:space="preserve">Memory</t>
  </si>
  <si>
    <t xml:space="preserve">DDR3 / HDMI</t>
  </si>
  <si>
    <t xml:space="preserve">Memory / analog PHY</t>
  </si>
  <si>
    <t xml:space="preserve">DDR2 / I/O</t>
  </si>
  <si>
    <t xml:space="preserve">Memory; general I/O; flash; sensors</t>
  </si>
  <si>
    <t xml:space="preserve">DDR1 / LVDS</t>
  </si>
  <si>
    <t xml:space="preserve">Memory; LVDS; analog</t>
  </si>
  <si>
    <t xml:space="preserve">I/O / GPIO</t>
  </si>
  <si>
    <t xml:space="preserve">GPIO; SPI/UART/I2C; USB PHY; SD; CAN</t>
  </si>
  <si>
    <t xml:space="preserve">Number of coarse states:</t>
  </si>
  <si>
    <t xml:space="preserve">(count of rows above)</t>
  </si>
  <si>
    <t xml:space="preserve">Primary (coarse) bits:</t>
  </si>
  <si>
    <t xml:space="preserve">ceil(log2 of states)</t>
  </si>
  <si>
    <t xml:space="preserve">2)  Fine trim  —  fills the grid between coarse points</t>
  </si>
  <si>
    <t xml:space="preserve">Fine range to cover (mV):</t>
  </si>
  <si>
    <t xml:space="preserve">local window around a coarse point (AVS / margin)</t>
  </si>
  <si>
    <t xml:space="preserve">Fine step — IMPLEMENTED (mV):</t>
  </si>
  <si>
    <t xml:space="preserve">chosen step (resource-light)</t>
  </si>
  <si>
    <t xml:space="preserve">Fine steps:</t>
  </si>
  <si>
    <t xml:space="preserve">range / step</t>
  </si>
  <si>
    <t xml:space="preserve">Fine bits:</t>
  </si>
  <si>
    <t xml:space="preserve">ceil(log2 of steps)</t>
  </si>
  <si>
    <t xml:space="preserve">TOTAL trim bits (coarse + fine):</t>
  </si>
  <si>
    <t xml:space="preserve">primary state + fine grid</t>
  </si>
  <si>
    <t xml:space="preserve">Ideal step — for reference (mV):</t>
  </si>
  <si>
    <t xml:space="preserve">AVS-grade (AMD SVI2 = 6.25 mV, Intel = 5 mV)</t>
  </si>
  <si>
    <t xml:space="preserve">Fine bits @ ideal step:</t>
  </si>
  <si>
    <t xml:space="preserve">Extra bits vs 25 mV:</t>
  </si>
  <si>
    <t xml:space="preserve">cost of going AVS-grade</t>
  </si>
  <si>
    <t xml:space="preserve">Scheme: primary bits pick the state (FinFET 0.8V digital / 0.96V analog, or a DDR/IO rail). Fine trim (25 mV) then covers the remaining sub-grid around that state (AVS on the core, margin on the rest).</t>
  </si>
  <si>
    <t xml:space="preserve">NOTE: 25 mV is chosen to keep the trim resource-light. For proper AVS resolution one should move to 6.25 mV (matching AMD SVI2 / close to Intel 5 mV) — but that costs extra fine bits, area and control resources (see 'Extra bits vs 25 mV' above). 25 mV is a legacy-coarse step; 6.25 mV is the AVS-grade target.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</si>
</sst>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A0522D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8"/>
      <name val="Arial"/>
      <family val="0"/>
      <charset val="1"/>
    </font>
    <font>
      <sz val="8"/>
      <color rgb="FF55555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CE4D6"/>
        <bgColor rgb="FFF8D7DA"/>
      </patternFill>
    </fill>
    <fill>
      <patternFill patternType="solid">
        <fgColor rgb="FFE2EFDA"/>
        <bgColor rgb="FFE8F1D4"/>
      </patternFill>
    </fill>
    <fill>
      <patternFill patternType="solid">
        <fgColor rgb="FFF8D7DA"/>
        <bgColor rgb="FFFCE4D6"/>
      </patternFill>
    </fill>
    <fill>
      <patternFill patternType="solid">
        <fgColor rgb="FFE8F1D4"/>
        <bgColor rgb="FFE2EFDA"/>
      </patternFill>
    </fill>
    <fill>
      <patternFill patternType="solid">
        <fgColor rgb="FFD6E9F5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6E9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D4"/>
      <rgbColor rgb="FFE2EFDA"/>
      <rgbColor rgb="FFFCE4D6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A0522D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78"/>
  </cols>
  <sheetData>
    <row r="1" customFormat="false" ht="15.7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3"/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25.5" hidden="false" customHeight="true" outlineLevel="0" collapsed="false">
      <c r="A5" s="6" t="n">
        <v>0.5</v>
      </c>
      <c r="B5" s="7" t="s">
        <v>4</v>
      </c>
    </row>
    <row r="6" customFormat="false" ht="25.5" hidden="false" customHeight="true" outlineLevel="0" collapsed="false">
      <c r="A6" s="6" t="n">
        <v>0.8</v>
      </c>
      <c r="B6" s="7" t="s">
        <v>5</v>
      </c>
    </row>
    <row r="7" customFormat="false" ht="25.5" hidden="false" customHeight="true" outlineLevel="0" collapsed="false">
      <c r="A7" s="6" t="n">
        <v>0.96</v>
      </c>
      <c r="B7" s="7" t="s">
        <v>6</v>
      </c>
    </row>
    <row r="8" customFormat="false" ht="25.5" hidden="false" customHeight="true" outlineLevel="0" collapsed="false">
      <c r="A8" s="6" t="n">
        <v>1.1</v>
      </c>
      <c r="B8" s="7" t="s">
        <v>7</v>
      </c>
    </row>
    <row r="9" customFormat="false" ht="25.5" hidden="false" customHeight="true" outlineLevel="0" collapsed="false">
      <c r="A9" s="6" t="n">
        <v>1.2</v>
      </c>
      <c r="B9" s="7" t="s">
        <v>8</v>
      </c>
    </row>
    <row r="10" customFormat="false" ht="25.5" hidden="false" customHeight="true" outlineLevel="0" collapsed="false">
      <c r="A10" s="6" t="n">
        <v>1.35</v>
      </c>
      <c r="B10" s="7" t="s">
        <v>9</v>
      </c>
    </row>
    <row r="11" customFormat="false" ht="25.5" hidden="false" customHeight="true" outlineLevel="0" collapsed="false">
      <c r="A11" s="6" t="n">
        <v>1.5</v>
      </c>
      <c r="B11" s="7" t="s">
        <v>10</v>
      </c>
    </row>
    <row r="12" customFormat="false" ht="25.5" hidden="false" customHeight="true" outlineLevel="0" collapsed="false">
      <c r="A12" s="6" t="n">
        <v>1.8</v>
      </c>
      <c r="B12" s="7" t="s">
        <v>11</v>
      </c>
    </row>
    <row r="13" customFormat="false" ht="25.5" hidden="false" customHeight="true" outlineLevel="0" collapsed="false">
      <c r="A13" s="6" t="n">
        <v>2.5</v>
      </c>
      <c r="B13" s="7" t="s">
        <v>12</v>
      </c>
    </row>
    <row r="14" customFormat="false" ht="25.5" hidden="false" customHeight="true" outlineLevel="0" collapsed="false">
      <c r="A14" s="6" t="n">
        <v>3.3</v>
      </c>
      <c r="B14" s="7" t="s">
        <v>13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12"/>
    <col collapsed="false" customWidth="true" hidden="false" outlineLevel="0" max="5" min="4" style="1" width="13"/>
    <col collapsed="false" customWidth="true" hidden="false" outlineLevel="0" max="7" min="6" style="1" width="14"/>
  </cols>
  <sheetData>
    <row r="1" customFormat="false" ht="15.75" hidden="false" customHeight="true" outlineLevel="0" collapsed="false">
      <c r="A1" s="2" t="s">
        <v>14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8" t="s">
        <v>15</v>
      </c>
      <c r="B2" s="9" t="n">
        <v>0.6</v>
      </c>
      <c r="C2" s="8" t="s">
        <v>16</v>
      </c>
      <c r="D2" s="9" t="n">
        <v>0.2</v>
      </c>
      <c r="E2" s="8" t="s">
        <v>17</v>
      </c>
      <c r="F2" s="9" t="n">
        <v>0.4</v>
      </c>
    </row>
    <row r="3" customFormat="false" ht="15" hidden="false" customHeight="true" outlineLevel="0" collapsed="false">
      <c r="A3" s="10" t="s">
        <v>18</v>
      </c>
      <c r="B3" s="10"/>
      <c r="C3" s="10"/>
      <c r="D3" s="10"/>
      <c r="E3" s="10"/>
      <c r="F3" s="10"/>
      <c r="G3" s="10"/>
    </row>
    <row r="5" customFormat="false" ht="30" hidden="false" customHeight="true" outlineLevel="0" collapsed="false">
      <c r="A5" s="11" t="s">
        <v>19</v>
      </c>
      <c r="B5" s="11" t="s">
        <v>20</v>
      </c>
      <c r="C5" s="11" t="s">
        <v>21</v>
      </c>
      <c r="D5" s="11" t="s">
        <v>22</v>
      </c>
      <c r="E5" s="11" t="s">
        <v>23</v>
      </c>
      <c r="F5" s="11" t="s">
        <v>24</v>
      </c>
      <c r="G5" s="11" t="s">
        <v>25</v>
      </c>
    </row>
    <row r="6" customFormat="false" ht="15" hidden="false" customHeight="true" outlineLevel="0" collapsed="false">
      <c r="A6" s="12" t="n">
        <v>1.5</v>
      </c>
      <c r="B6" s="12" t="n">
        <v>1.35</v>
      </c>
      <c r="C6" s="12" t="n">
        <f aca="false">A6-B6</f>
        <v>0.15</v>
      </c>
      <c r="D6" s="13" t="n">
        <f aca="false">C6*$D$2</f>
        <v>0.03</v>
      </c>
      <c r="E6" s="13" t="n">
        <f aca="false">C6*$F$2</f>
        <v>0.06</v>
      </c>
      <c r="F6" s="14" t="str">
        <f aca="false">IF(D6&gt;$B$2,"On request","Main")</f>
        <v>Main</v>
      </c>
      <c r="G6" s="14" t="str">
        <f aca="false">IF(E6&gt;$B$2,"On request","Main")</f>
        <v>Main</v>
      </c>
    </row>
    <row r="7" customFormat="false" ht="15" hidden="false" customHeight="true" outlineLevel="0" collapsed="false">
      <c r="A7" s="12" t="n">
        <v>1.5</v>
      </c>
      <c r="B7" s="12" t="n">
        <v>1.2</v>
      </c>
      <c r="C7" s="12" t="n">
        <f aca="false">A7-B7</f>
        <v>0.3</v>
      </c>
      <c r="D7" s="13" t="n">
        <f aca="false">C7*$D$2</f>
        <v>0.06</v>
      </c>
      <c r="E7" s="13" t="n">
        <f aca="false">C7*$F$2</f>
        <v>0.12</v>
      </c>
      <c r="F7" s="14" t="str">
        <f aca="false">IF(D7&gt;$B$2,"On request","Main")</f>
        <v>Main</v>
      </c>
      <c r="G7" s="14" t="str">
        <f aca="false">IF(E7&gt;$B$2,"On request","Main")</f>
        <v>Main</v>
      </c>
    </row>
    <row r="8" customFormat="false" ht="15" hidden="false" customHeight="true" outlineLevel="0" collapsed="false">
      <c r="A8" s="6" t="n">
        <v>1.8</v>
      </c>
      <c r="B8" s="6" t="n">
        <v>1.5</v>
      </c>
      <c r="C8" s="6" t="n">
        <f aca="false">A8-B8</f>
        <v>0.3</v>
      </c>
      <c r="D8" s="15" t="n">
        <f aca="false">C8*$D$2</f>
        <v>0.06</v>
      </c>
      <c r="E8" s="15" t="n">
        <f aca="false">C8*$F$2</f>
        <v>0.12</v>
      </c>
      <c r="F8" s="14" t="str">
        <f aca="false">IF(D8&gt;$B$2,"On request","Main")</f>
        <v>Main</v>
      </c>
      <c r="G8" s="14" t="str">
        <f aca="false">IF(E8&gt;$B$2,"On request","Main")</f>
        <v>Main</v>
      </c>
    </row>
    <row r="9" customFormat="false" ht="15" hidden="false" customHeight="true" outlineLevel="0" collapsed="false">
      <c r="A9" s="12" t="n">
        <v>1.5</v>
      </c>
      <c r="B9" s="12" t="n">
        <v>1.1</v>
      </c>
      <c r="C9" s="12" t="n">
        <f aca="false">A9-B9</f>
        <v>0.4</v>
      </c>
      <c r="D9" s="13" t="n">
        <f aca="false">C9*$D$2</f>
        <v>0.08</v>
      </c>
      <c r="E9" s="13" t="n">
        <f aca="false">C9*$F$2</f>
        <v>0.16</v>
      </c>
      <c r="F9" s="14" t="str">
        <f aca="false">IF(D9&gt;$B$2,"On request","Main")</f>
        <v>Main</v>
      </c>
      <c r="G9" s="14" t="str">
        <f aca="false">IF(E9&gt;$B$2,"On request","Main")</f>
        <v>Main</v>
      </c>
    </row>
    <row r="10" customFormat="false" ht="15" hidden="false" customHeight="true" outlineLevel="0" collapsed="false">
      <c r="A10" s="6" t="n">
        <v>1.8</v>
      </c>
      <c r="B10" s="6" t="n">
        <v>1.35</v>
      </c>
      <c r="C10" s="6" t="n">
        <f aca="false">A10-B10</f>
        <v>0.45</v>
      </c>
      <c r="D10" s="15" t="n">
        <f aca="false">C10*$D$2</f>
        <v>0.09</v>
      </c>
      <c r="E10" s="15" t="n">
        <f aca="false">C10*$F$2</f>
        <v>0.18</v>
      </c>
      <c r="F10" s="14" t="str">
        <f aca="false">IF(D10&gt;$B$2,"On request","Main")</f>
        <v>Main</v>
      </c>
      <c r="G10" s="14" t="str">
        <f aca="false">IF(E10&gt;$B$2,"On request","Main")</f>
        <v>Main</v>
      </c>
    </row>
    <row r="11" customFormat="false" ht="15" hidden="false" customHeight="true" outlineLevel="0" collapsed="false">
      <c r="A11" s="12" t="n">
        <v>1.5</v>
      </c>
      <c r="B11" s="12" t="n">
        <v>0.96</v>
      </c>
      <c r="C11" s="12" t="n">
        <f aca="false">A11-B11</f>
        <v>0.54</v>
      </c>
      <c r="D11" s="13" t="n">
        <f aca="false">C11*$D$2</f>
        <v>0.108</v>
      </c>
      <c r="E11" s="13" t="n">
        <f aca="false">C11*$F$2</f>
        <v>0.216</v>
      </c>
      <c r="F11" s="14" t="str">
        <f aca="false">IF(D11&gt;$B$2,"On request","Main")</f>
        <v>Main</v>
      </c>
      <c r="G11" s="14" t="str">
        <f aca="false">IF(E11&gt;$B$2,"On request","Main")</f>
        <v>Main</v>
      </c>
    </row>
    <row r="12" customFormat="false" ht="15" hidden="false" customHeight="true" outlineLevel="0" collapsed="false">
      <c r="A12" s="6" t="n">
        <v>1.8</v>
      </c>
      <c r="B12" s="6" t="n">
        <v>1.2</v>
      </c>
      <c r="C12" s="6" t="n">
        <f aca="false">A12-B12</f>
        <v>0.6</v>
      </c>
      <c r="D12" s="15" t="n">
        <f aca="false">C12*$D$2</f>
        <v>0.12</v>
      </c>
      <c r="E12" s="15" t="n">
        <f aca="false">C12*$F$2</f>
        <v>0.24</v>
      </c>
      <c r="F12" s="14" t="str">
        <f aca="false">IF(D12&gt;$B$2,"On request","Main")</f>
        <v>Main</v>
      </c>
      <c r="G12" s="14" t="str">
        <f aca="false">IF(E12&gt;$B$2,"On request","Main")</f>
        <v>Main</v>
      </c>
    </row>
    <row r="13" customFormat="false" ht="15" hidden="false" customHeight="true" outlineLevel="0" collapsed="false">
      <c r="A13" s="12" t="n">
        <v>1.5</v>
      </c>
      <c r="B13" s="12" t="n">
        <v>0.8</v>
      </c>
      <c r="C13" s="12" t="n">
        <f aca="false">A13-B13</f>
        <v>0.7</v>
      </c>
      <c r="D13" s="13" t="n">
        <f aca="false">C13*$D$2</f>
        <v>0.14</v>
      </c>
      <c r="E13" s="13" t="n">
        <f aca="false">C13*$F$2</f>
        <v>0.28</v>
      </c>
      <c r="F13" s="14" t="str">
        <f aca="false">IF(D13&gt;$B$2,"On request","Main")</f>
        <v>Main</v>
      </c>
      <c r="G13" s="14" t="str">
        <f aca="false">IF(E13&gt;$B$2,"On request","Main")</f>
        <v>Main</v>
      </c>
    </row>
    <row r="14" customFormat="false" ht="15" hidden="false" customHeight="true" outlineLevel="0" collapsed="false">
      <c r="A14" s="6" t="n">
        <v>1.8</v>
      </c>
      <c r="B14" s="6" t="n">
        <v>1.1</v>
      </c>
      <c r="C14" s="6" t="n">
        <f aca="false">A14-B14</f>
        <v>0.7</v>
      </c>
      <c r="D14" s="15" t="n">
        <f aca="false">C14*$D$2</f>
        <v>0.14</v>
      </c>
      <c r="E14" s="15" t="n">
        <f aca="false">C14*$F$2</f>
        <v>0.28</v>
      </c>
      <c r="F14" s="14" t="str">
        <f aca="false">IF(D14&gt;$B$2,"On request","Main")</f>
        <v>Main</v>
      </c>
      <c r="G14" s="14" t="str">
        <f aca="false">IF(E14&gt;$B$2,"On request","Main")</f>
        <v>Main</v>
      </c>
    </row>
    <row r="15" customFormat="false" ht="15" hidden="false" customHeight="true" outlineLevel="0" collapsed="false">
      <c r="A15" s="6" t="n">
        <v>2.5</v>
      </c>
      <c r="B15" s="6" t="n">
        <v>1.8</v>
      </c>
      <c r="C15" s="6" t="n">
        <f aca="false">A15-B15</f>
        <v>0.7</v>
      </c>
      <c r="D15" s="15" t="n">
        <f aca="false">C15*$D$2</f>
        <v>0.14</v>
      </c>
      <c r="E15" s="15" t="n">
        <f aca="false">C15*$F$2</f>
        <v>0.28</v>
      </c>
      <c r="F15" s="14" t="str">
        <f aca="false">IF(D15&gt;$B$2,"On request","Main")</f>
        <v>Main</v>
      </c>
      <c r="G15" s="14" t="str">
        <f aca="false">IF(E15&gt;$B$2,"On request","Main")</f>
        <v>Main</v>
      </c>
    </row>
    <row r="16" customFormat="false" ht="15" hidden="false" customHeight="true" outlineLevel="0" collapsed="false">
      <c r="A16" s="6" t="n">
        <v>1.8</v>
      </c>
      <c r="B16" s="6" t="n">
        <v>0.96</v>
      </c>
      <c r="C16" s="6" t="n">
        <f aca="false">A16-B16</f>
        <v>0.84</v>
      </c>
      <c r="D16" s="15" t="n">
        <f aca="false">C16*$D$2</f>
        <v>0.168</v>
      </c>
      <c r="E16" s="15" t="n">
        <f aca="false">C16*$F$2</f>
        <v>0.336</v>
      </c>
      <c r="F16" s="14" t="str">
        <f aca="false">IF(D16&gt;$B$2,"On request","Main")</f>
        <v>Main</v>
      </c>
      <c r="G16" s="14" t="str">
        <f aca="false">IF(E16&gt;$B$2,"On request","Main")</f>
        <v>Main</v>
      </c>
    </row>
    <row r="17" customFormat="false" ht="15" hidden="false" customHeight="true" outlineLevel="0" collapsed="false">
      <c r="A17" s="6" t="n">
        <v>3.3</v>
      </c>
      <c r="B17" s="6" t="n">
        <v>2.5</v>
      </c>
      <c r="C17" s="6" t="n">
        <f aca="false">A17-B17</f>
        <v>0.8</v>
      </c>
      <c r="D17" s="15" t="n">
        <f aca="false">C17*$D$2</f>
        <v>0.16</v>
      </c>
      <c r="E17" s="15" t="n">
        <f aca="false">C17*$F$2</f>
        <v>0.32</v>
      </c>
      <c r="F17" s="14" t="str">
        <f aca="false">IF(D17&gt;$B$2,"On request","Main")</f>
        <v>Main</v>
      </c>
      <c r="G17" s="14" t="str">
        <f aca="false">IF(E17&gt;$B$2,"On request","Main")</f>
        <v>Main</v>
      </c>
    </row>
    <row r="18" customFormat="false" ht="15" hidden="false" customHeight="true" outlineLevel="0" collapsed="false">
      <c r="A18" s="12" t="n">
        <v>1.5</v>
      </c>
      <c r="B18" s="12" t="n">
        <v>0.5</v>
      </c>
      <c r="C18" s="12" t="n">
        <f aca="false">A18-B18</f>
        <v>1</v>
      </c>
      <c r="D18" s="13" t="n">
        <f aca="false">C18*$D$2</f>
        <v>0.2</v>
      </c>
      <c r="E18" s="13" t="n">
        <f aca="false">C18*$F$2</f>
        <v>0.4</v>
      </c>
      <c r="F18" s="14" t="str">
        <f aca="false">IF(D18&gt;$B$2,"On request","Main")</f>
        <v>Main</v>
      </c>
      <c r="G18" s="14" t="str">
        <f aca="false">IF(E18&gt;$B$2,"On request","Main")</f>
        <v>Main</v>
      </c>
    </row>
    <row r="19" customFormat="false" ht="15" hidden="false" customHeight="true" outlineLevel="0" collapsed="false">
      <c r="A19" s="6" t="n">
        <v>1.8</v>
      </c>
      <c r="B19" s="6" t="n">
        <v>0.8</v>
      </c>
      <c r="C19" s="6" t="n">
        <f aca="false">A19-B19</f>
        <v>1</v>
      </c>
      <c r="D19" s="15" t="n">
        <f aca="false">C19*$D$2</f>
        <v>0.2</v>
      </c>
      <c r="E19" s="15" t="n">
        <f aca="false">C19*$F$2</f>
        <v>0.4</v>
      </c>
      <c r="F19" s="14" t="str">
        <f aca="false">IF(D19&gt;$B$2,"On request","Main")</f>
        <v>Main</v>
      </c>
      <c r="G19" s="14" t="str">
        <f aca="false">IF(E19&gt;$B$2,"On request","Main")</f>
        <v>Main</v>
      </c>
    </row>
    <row r="20" customFormat="false" ht="15" hidden="false" customHeight="true" outlineLevel="0" collapsed="false">
      <c r="A20" s="6" t="n">
        <v>2.5</v>
      </c>
      <c r="B20" s="6" t="n">
        <v>1.5</v>
      </c>
      <c r="C20" s="6" t="n">
        <f aca="false">A20-B20</f>
        <v>1</v>
      </c>
      <c r="D20" s="15" t="n">
        <f aca="false">C20*$D$2</f>
        <v>0.2</v>
      </c>
      <c r="E20" s="15" t="n">
        <f aca="false">C20*$F$2</f>
        <v>0.4</v>
      </c>
      <c r="F20" s="14" t="str">
        <f aca="false">IF(D20&gt;$B$2,"On request","Main")</f>
        <v>Main</v>
      </c>
      <c r="G20" s="14" t="str">
        <f aca="false">IF(E20&gt;$B$2,"On request","Main")</f>
        <v>Main</v>
      </c>
    </row>
    <row r="21" customFormat="false" ht="15" hidden="false" customHeight="true" outlineLevel="0" collapsed="false">
      <c r="A21" s="6" t="n">
        <v>2.5</v>
      </c>
      <c r="B21" s="6" t="n">
        <v>1.35</v>
      </c>
      <c r="C21" s="6" t="n">
        <f aca="false">A21-B21</f>
        <v>1.15</v>
      </c>
      <c r="D21" s="15" t="n">
        <f aca="false">C21*$D$2</f>
        <v>0.23</v>
      </c>
      <c r="E21" s="15" t="n">
        <f aca="false">C21*$F$2</f>
        <v>0.46</v>
      </c>
      <c r="F21" s="14" t="str">
        <f aca="false">IF(D21&gt;$B$2,"On request","Main")</f>
        <v>Main</v>
      </c>
      <c r="G21" s="14" t="str">
        <f aca="false">IF(E21&gt;$B$2,"On request","Main")</f>
        <v>Main</v>
      </c>
    </row>
    <row r="22" customFormat="false" ht="15" hidden="false" customHeight="true" outlineLevel="0" collapsed="false">
      <c r="A22" s="6" t="n">
        <v>1.8</v>
      </c>
      <c r="B22" s="6" t="n">
        <v>0.5</v>
      </c>
      <c r="C22" s="6" t="n">
        <f aca="false">A22-B22</f>
        <v>1.3</v>
      </c>
      <c r="D22" s="15" t="n">
        <f aca="false">C22*$D$2</f>
        <v>0.26</v>
      </c>
      <c r="E22" s="15" t="n">
        <f aca="false">C22*$F$2</f>
        <v>0.52</v>
      </c>
      <c r="F22" s="14" t="str">
        <f aca="false">IF(D22&gt;$B$2,"On request","Main")</f>
        <v>Main</v>
      </c>
      <c r="G22" s="14" t="str">
        <f aca="false">IF(E22&gt;$B$2,"On request","Main")</f>
        <v>Main</v>
      </c>
    </row>
    <row r="23" customFormat="false" ht="15" hidden="false" customHeight="true" outlineLevel="0" collapsed="false">
      <c r="A23" s="6" t="n">
        <v>2.5</v>
      </c>
      <c r="B23" s="6" t="n">
        <v>1.2</v>
      </c>
      <c r="C23" s="6" t="n">
        <f aca="false">A23-B23</f>
        <v>1.3</v>
      </c>
      <c r="D23" s="15" t="n">
        <f aca="false">C23*$D$2</f>
        <v>0.26</v>
      </c>
      <c r="E23" s="15" t="n">
        <f aca="false">C23*$F$2</f>
        <v>0.52</v>
      </c>
      <c r="F23" s="14" t="str">
        <f aca="false">IF(D23&gt;$B$2,"On request","Main")</f>
        <v>Main</v>
      </c>
      <c r="G23" s="14" t="str">
        <f aca="false">IF(E23&gt;$B$2,"On request","Main")</f>
        <v>Main</v>
      </c>
    </row>
    <row r="24" customFormat="false" ht="15" hidden="false" customHeight="true" outlineLevel="0" collapsed="false">
      <c r="A24" s="6" t="n">
        <v>2.5</v>
      </c>
      <c r="B24" s="6" t="n">
        <v>1.1</v>
      </c>
      <c r="C24" s="6" t="n">
        <f aca="false">A24-B24</f>
        <v>1.4</v>
      </c>
      <c r="D24" s="15" t="n">
        <f aca="false">C24*$D$2</f>
        <v>0.28</v>
      </c>
      <c r="E24" s="15" t="n">
        <f aca="false">C24*$F$2</f>
        <v>0.56</v>
      </c>
      <c r="F24" s="14" t="str">
        <f aca="false">IF(D24&gt;$B$2,"On request","Main")</f>
        <v>Main</v>
      </c>
      <c r="G24" s="14" t="str">
        <f aca="false">IF(E24&gt;$B$2,"On request","Main")</f>
        <v>Main</v>
      </c>
    </row>
    <row r="25" customFormat="false" ht="15" hidden="false" customHeight="true" outlineLevel="0" collapsed="false">
      <c r="A25" s="6" t="n">
        <v>2.5</v>
      </c>
      <c r="B25" s="6" t="n">
        <v>0.96</v>
      </c>
      <c r="C25" s="6" t="n">
        <f aca="false">A25-B25</f>
        <v>1.54</v>
      </c>
      <c r="D25" s="15" t="n">
        <f aca="false">C25*$D$2</f>
        <v>0.308</v>
      </c>
      <c r="E25" s="15" t="n">
        <f aca="false">C25*$F$2</f>
        <v>0.616</v>
      </c>
      <c r="F25" s="14" t="str">
        <f aca="false">IF(D25&gt;$B$2,"On request","Main")</f>
        <v>Main</v>
      </c>
      <c r="G25" s="16" t="str">
        <f aca="false">IF(E25&gt;$B$2,"On request","Main")</f>
        <v>On request</v>
      </c>
    </row>
    <row r="26" customFormat="false" ht="15" hidden="false" customHeight="true" outlineLevel="0" collapsed="false">
      <c r="A26" s="6" t="n">
        <v>3.3</v>
      </c>
      <c r="B26" s="6" t="n">
        <v>1.8</v>
      </c>
      <c r="C26" s="6" t="n">
        <f aca="false">A26-B26</f>
        <v>1.5</v>
      </c>
      <c r="D26" s="15" t="n">
        <f aca="false">C26*$D$2</f>
        <v>0.3</v>
      </c>
      <c r="E26" s="15" t="n">
        <f aca="false">C26*$F$2</f>
        <v>0.6</v>
      </c>
      <c r="F26" s="14" t="str">
        <f aca="false">IF(D26&gt;$B$2,"On request","Main")</f>
        <v>Main</v>
      </c>
      <c r="G26" s="16" t="str">
        <f aca="false">IF(E26&gt;$B$2,"On request","Main")</f>
        <v>Main</v>
      </c>
    </row>
    <row r="27" customFormat="false" ht="15" hidden="false" customHeight="true" outlineLevel="0" collapsed="false">
      <c r="A27" s="6" t="n">
        <v>2.5</v>
      </c>
      <c r="B27" s="6" t="n">
        <v>0.8</v>
      </c>
      <c r="C27" s="6" t="n">
        <f aca="false">A27-B27</f>
        <v>1.7</v>
      </c>
      <c r="D27" s="15" t="n">
        <f aca="false">C27*$D$2</f>
        <v>0.34</v>
      </c>
      <c r="E27" s="15" t="n">
        <f aca="false">C27*$F$2</f>
        <v>0.68</v>
      </c>
      <c r="F27" s="14" t="str">
        <f aca="false">IF(D27&gt;$B$2,"On request","Main")</f>
        <v>Main</v>
      </c>
      <c r="G27" s="16" t="str">
        <f aca="false">IF(E27&gt;$B$2,"On request","Main")</f>
        <v>On request</v>
      </c>
    </row>
    <row r="28" customFormat="false" ht="15" hidden="false" customHeight="true" outlineLevel="0" collapsed="false">
      <c r="A28" s="6" t="n">
        <v>5</v>
      </c>
      <c r="B28" s="6" t="n">
        <v>3.3</v>
      </c>
      <c r="C28" s="6" t="n">
        <f aca="false">A28-B28</f>
        <v>1.7</v>
      </c>
      <c r="D28" s="15" t="n">
        <f aca="false">C28*$D$2</f>
        <v>0.34</v>
      </c>
      <c r="E28" s="15" t="n">
        <f aca="false">C28*$F$2</f>
        <v>0.68</v>
      </c>
      <c r="F28" s="14" t="str">
        <f aca="false">IF(D28&gt;$B$2,"On request","Main")</f>
        <v>Main</v>
      </c>
      <c r="G28" s="16" t="str">
        <f aca="false">IF(E28&gt;$B$2,"On request","Main")</f>
        <v>On request</v>
      </c>
    </row>
    <row r="29" customFormat="false" ht="15" hidden="false" customHeight="true" outlineLevel="0" collapsed="false">
      <c r="A29" s="6" t="n">
        <v>3.3</v>
      </c>
      <c r="B29" s="6" t="n">
        <v>1.5</v>
      </c>
      <c r="C29" s="6" t="n">
        <f aca="false">A29-B29</f>
        <v>1.8</v>
      </c>
      <c r="D29" s="15" t="n">
        <f aca="false">C29*$D$2</f>
        <v>0.36</v>
      </c>
      <c r="E29" s="15" t="n">
        <f aca="false">C29*$F$2</f>
        <v>0.72</v>
      </c>
      <c r="F29" s="14" t="str">
        <f aca="false">IF(D29&gt;$B$2,"On request","Main")</f>
        <v>Main</v>
      </c>
      <c r="G29" s="16" t="str">
        <f aca="false">IF(E29&gt;$B$2,"On request","Main")</f>
        <v>On request</v>
      </c>
    </row>
    <row r="30" customFormat="false" ht="15" hidden="false" customHeight="true" outlineLevel="0" collapsed="false">
      <c r="A30" s="6" t="n">
        <v>3.3</v>
      </c>
      <c r="B30" s="6" t="n">
        <v>1.35</v>
      </c>
      <c r="C30" s="6" t="n">
        <f aca="false">A30-B30</f>
        <v>1.95</v>
      </c>
      <c r="D30" s="15" t="n">
        <f aca="false">C30*$D$2</f>
        <v>0.39</v>
      </c>
      <c r="E30" s="15" t="n">
        <f aca="false">C30*$F$2</f>
        <v>0.78</v>
      </c>
      <c r="F30" s="14" t="str">
        <f aca="false">IF(D30&gt;$B$2,"On request","Main")</f>
        <v>Main</v>
      </c>
      <c r="G30" s="16" t="str">
        <f aca="false">IF(E30&gt;$B$2,"On request","Main")</f>
        <v>On request</v>
      </c>
    </row>
    <row r="31" customFormat="false" ht="15" hidden="false" customHeight="true" outlineLevel="0" collapsed="false">
      <c r="A31" s="6" t="n">
        <v>2.5</v>
      </c>
      <c r="B31" s="6" t="n">
        <v>0.5</v>
      </c>
      <c r="C31" s="6" t="n">
        <f aca="false">A31-B31</f>
        <v>2</v>
      </c>
      <c r="D31" s="15" t="n">
        <f aca="false">C31*$D$2</f>
        <v>0.4</v>
      </c>
      <c r="E31" s="15" t="n">
        <f aca="false">C31*$F$2</f>
        <v>0.8</v>
      </c>
      <c r="F31" s="14" t="str">
        <f aca="false">IF(D31&gt;$B$2,"On request","Main")</f>
        <v>Main</v>
      </c>
      <c r="G31" s="16" t="str">
        <f aca="false">IF(E31&gt;$B$2,"On request","Main")</f>
        <v>On request</v>
      </c>
    </row>
    <row r="32" customFormat="false" ht="15" hidden="false" customHeight="true" outlineLevel="0" collapsed="false">
      <c r="A32" s="6" t="n">
        <v>3.3</v>
      </c>
      <c r="B32" s="6" t="n">
        <v>1.2</v>
      </c>
      <c r="C32" s="6" t="n">
        <f aca="false">A32-B32</f>
        <v>2.1</v>
      </c>
      <c r="D32" s="15" t="n">
        <f aca="false">C32*$D$2</f>
        <v>0.42</v>
      </c>
      <c r="E32" s="15" t="n">
        <f aca="false">C32*$F$2</f>
        <v>0.84</v>
      </c>
      <c r="F32" s="14" t="str">
        <f aca="false">IF(D32&gt;$B$2,"On request","Main")</f>
        <v>Main</v>
      </c>
      <c r="G32" s="16" t="str">
        <f aca="false">IF(E32&gt;$B$2,"On request","Main")</f>
        <v>On request</v>
      </c>
    </row>
    <row r="33" customFormat="false" ht="15" hidden="false" customHeight="true" outlineLevel="0" collapsed="false">
      <c r="A33" s="6" t="n">
        <v>3.3</v>
      </c>
      <c r="B33" s="6" t="n">
        <v>1.1</v>
      </c>
      <c r="C33" s="6" t="n">
        <f aca="false">A33-B33</f>
        <v>2.2</v>
      </c>
      <c r="D33" s="15" t="n">
        <f aca="false">C33*$D$2</f>
        <v>0.44</v>
      </c>
      <c r="E33" s="15" t="n">
        <f aca="false">C33*$F$2</f>
        <v>0.88</v>
      </c>
      <c r="F33" s="14" t="str">
        <f aca="false">IF(D33&gt;$B$2,"On request","Main")</f>
        <v>Main</v>
      </c>
      <c r="G33" s="16" t="str">
        <f aca="false">IF(E33&gt;$B$2,"On request","Main")</f>
        <v>On request</v>
      </c>
    </row>
    <row r="34" customFormat="false" ht="15" hidden="false" customHeight="true" outlineLevel="0" collapsed="false">
      <c r="A34" s="6" t="n">
        <v>3.3</v>
      </c>
      <c r="B34" s="6" t="n">
        <v>0.96</v>
      </c>
      <c r="C34" s="6" t="n">
        <f aca="false">A34-B34</f>
        <v>2.34</v>
      </c>
      <c r="D34" s="15" t="n">
        <f aca="false">C34*$D$2</f>
        <v>0.468</v>
      </c>
      <c r="E34" s="15" t="n">
        <f aca="false">C34*$F$2</f>
        <v>0.936</v>
      </c>
      <c r="F34" s="14" t="str">
        <f aca="false">IF(D34&gt;$B$2,"On request","Main")</f>
        <v>Main</v>
      </c>
      <c r="G34" s="16" t="str">
        <f aca="false">IF(E34&gt;$B$2,"On request","Main")</f>
        <v>On request</v>
      </c>
    </row>
    <row r="35" customFormat="false" ht="15" hidden="false" customHeight="true" outlineLevel="0" collapsed="false">
      <c r="A35" s="6" t="n">
        <v>3.3</v>
      </c>
      <c r="B35" s="6" t="n">
        <v>0.8</v>
      </c>
      <c r="C35" s="6" t="n">
        <f aca="false">A35-B35</f>
        <v>2.5</v>
      </c>
      <c r="D35" s="15" t="n">
        <f aca="false">C35*$D$2</f>
        <v>0.5</v>
      </c>
      <c r="E35" s="15" t="n">
        <f aca="false">C35*$F$2</f>
        <v>1</v>
      </c>
      <c r="F35" s="14" t="str">
        <f aca="false">IF(D35&gt;$B$2,"On request","Main")</f>
        <v>Main</v>
      </c>
      <c r="G35" s="16" t="str">
        <f aca="false">IF(E35&gt;$B$2,"On request","Main")</f>
        <v>On request</v>
      </c>
    </row>
    <row r="36" customFormat="false" ht="15" hidden="false" customHeight="true" outlineLevel="0" collapsed="false">
      <c r="A36" s="6" t="n">
        <v>5</v>
      </c>
      <c r="B36" s="6" t="n">
        <v>2.5</v>
      </c>
      <c r="C36" s="6" t="n">
        <f aca="false">A36-B36</f>
        <v>2.5</v>
      </c>
      <c r="D36" s="15" t="n">
        <f aca="false">C36*$D$2</f>
        <v>0.5</v>
      </c>
      <c r="E36" s="15" t="n">
        <f aca="false">C36*$F$2</f>
        <v>1</v>
      </c>
      <c r="F36" s="14" t="str">
        <f aca="false">IF(D36&gt;$B$2,"On request","Main")</f>
        <v>Main</v>
      </c>
      <c r="G36" s="16" t="str">
        <f aca="false">IF(E36&gt;$B$2,"On request","Main")</f>
        <v>On request</v>
      </c>
    </row>
    <row r="37" customFormat="false" ht="15" hidden="false" customHeight="true" outlineLevel="0" collapsed="false">
      <c r="A37" s="6" t="n">
        <v>3.3</v>
      </c>
      <c r="B37" s="6" t="n">
        <v>0.5</v>
      </c>
      <c r="C37" s="6" t="n">
        <f aca="false">A37-B37</f>
        <v>2.8</v>
      </c>
      <c r="D37" s="15" t="n">
        <f aca="false">C37*$D$2</f>
        <v>0.56</v>
      </c>
      <c r="E37" s="15" t="n">
        <f aca="false">C37*$F$2</f>
        <v>1.12</v>
      </c>
      <c r="F37" s="14" t="str">
        <f aca="false">IF(D37&gt;$B$2,"On request","Main")</f>
        <v>Main</v>
      </c>
      <c r="G37" s="16" t="str">
        <f aca="false">IF(E37&gt;$B$2,"On request","Main")</f>
        <v>On request</v>
      </c>
    </row>
    <row r="38" customFormat="false" ht="15" hidden="false" customHeight="true" outlineLevel="0" collapsed="false">
      <c r="A38" s="6" t="n">
        <v>5</v>
      </c>
      <c r="B38" s="6" t="n">
        <v>1.8</v>
      </c>
      <c r="C38" s="6" t="n">
        <f aca="false">A38-B38</f>
        <v>3.2</v>
      </c>
      <c r="D38" s="15" t="n">
        <f aca="false">C38*$D$2</f>
        <v>0.64</v>
      </c>
      <c r="E38" s="15" t="n">
        <f aca="false">C38*$F$2</f>
        <v>1.28</v>
      </c>
      <c r="F38" s="16" t="str">
        <f aca="false">IF(D38&gt;$B$2,"On request","Main")</f>
        <v>On request</v>
      </c>
      <c r="G38" s="16" t="str">
        <f aca="false">IF(E38&gt;$B$2,"On request","Main")</f>
        <v>On request</v>
      </c>
    </row>
    <row r="39" customFormat="false" ht="15" hidden="false" customHeight="true" outlineLevel="0" collapsed="false">
      <c r="A39" s="6" t="n">
        <v>5</v>
      </c>
      <c r="B39" s="6" t="n">
        <v>1.5</v>
      </c>
      <c r="C39" s="6" t="n">
        <f aca="false">A39-B39</f>
        <v>3.5</v>
      </c>
      <c r="D39" s="15" t="n">
        <f aca="false">C39*$D$2</f>
        <v>0.7</v>
      </c>
      <c r="E39" s="15" t="n">
        <f aca="false">C39*$F$2</f>
        <v>1.4</v>
      </c>
      <c r="F39" s="16" t="str">
        <f aca="false">IF(D39&gt;$B$2,"On request","Main")</f>
        <v>On request</v>
      </c>
      <c r="G39" s="16" t="str">
        <f aca="false">IF(E39&gt;$B$2,"On request","Main")</f>
        <v>On request</v>
      </c>
    </row>
    <row r="40" customFormat="false" ht="15" hidden="false" customHeight="true" outlineLevel="0" collapsed="false">
      <c r="A40" s="6" t="n">
        <v>5</v>
      </c>
      <c r="B40" s="6" t="n">
        <v>1.35</v>
      </c>
      <c r="C40" s="6" t="n">
        <f aca="false">A40-B40</f>
        <v>3.65</v>
      </c>
      <c r="D40" s="15" t="n">
        <f aca="false">C40*$D$2</f>
        <v>0.73</v>
      </c>
      <c r="E40" s="15" t="n">
        <f aca="false">C40*$F$2</f>
        <v>1.46</v>
      </c>
      <c r="F40" s="16" t="str">
        <f aca="false">IF(D40&gt;$B$2,"On request","Main")</f>
        <v>On request</v>
      </c>
      <c r="G40" s="16" t="str">
        <f aca="false">IF(E40&gt;$B$2,"On request","Main")</f>
        <v>On request</v>
      </c>
    </row>
    <row r="41" customFormat="false" ht="15" hidden="false" customHeight="true" outlineLevel="0" collapsed="false">
      <c r="A41" s="6" t="n">
        <v>5</v>
      </c>
      <c r="B41" s="6" t="n">
        <v>1.2</v>
      </c>
      <c r="C41" s="6" t="n">
        <f aca="false">A41-B41</f>
        <v>3.8</v>
      </c>
      <c r="D41" s="15" t="n">
        <f aca="false">C41*$D$2</f>
        <v>0.76</v>
      </c>
      <c r="E41" s="15" t="n">
        <f aca="false">C41*$F$2</f>
        <v>1.52</v>
      </c>
      <c r="F41" s="16" t="str">
        <f aca="false">IF(D41&gt;$B$2,"On request","Main")</f>
        <v>On request</v>
      </c>
      <c r="G41" s="16" t="str">
        <f aca="false">IF(E41&gt;$B$2,"On request","Main")</f>
        <v>On request</v>
      </c>
    </row>
    <row r="42" customFormat="false" ht="15" hidden="false" customHeight="true" outlineLevel="0" collapsed="false">
      <c r="A42" s="6" t="n">
        <v>5</v>
      </c>
      <c r="B42" s="6" t="n">
        <v>1.1</v>
      </c>
      <c r="C42" s="6" t="n">
        <f aca="false">A42-B42</f>
        <v>3.9</v>
      </c>
      <c r="D42" s="15" t="n">
        <f aca="false">C42*$D$2</f>
        <v>0.78</v>
      </c>
      <c r="E42" s="15" t="n">
        <f aca="false">C42*$F$2</f>
        <v>1.56</v>
      </c>
      <c r="F42" s="16" t="str">
        <f aca="false">IF(D42&gt;$B$2,"On request","Main")</f>
        <v>On request</v>
      </c>
      <c r="G42" s="16" t="str">
        <f aca="false">IF(E42&gt;$B$2,"On request","Main")</f>
        <v>On request</v>
      </c>
    </row>
    <row r="43" customFormat="false" ht="15" hidden="false" customHeight="true" outlineLevel="0" collapsed="false">
      <c r="A43" s="6" t="n">
        <v>5</v>
      </c>
      <c r="B43" s="6" t="n">
        <v>0.96</v>
      </c>
      <c r="C43" s="6" t="n">
        <f aca="false">A43-B43</f>
        <v>4.04</v>
      </c>
      <c r="D43" s="15" t="n">
        <f aca="false">C43*$D$2</f>
        <v>0.808</v>
      </c>
      <c r="E43" s="15" t="n">
        <f aca="false">C43*$F$2</f>
        <v>1.616</v>
      </c>
      <c r="F43" s="16" t="str">
        <f aca="false">IF(D43&gt;$B$2,"On request","Main")</f>
        <v>On request</v>
      </c>
      <c r="G43" s="16" t="str">
        <f aca="false">IF(E43&gt;$B$2,"On request","Main")</f>
        <v>On request</v>
      </c>
    </row>
    <row r="44" customFormat="false" ht="15" hidden="false" customHeight="true" outlineLevel="0" collapsed="false">
      <c r="A44" s="6" t="n">
        <v>5</v>
      </c>
      <c r="B44" s="6" t="n">
        <v>0.8</v>
      </c>
      <c r="C44" s="6" t="n">
        <f aca="false">A44-B44</f>
        <v>4.2</v>
      </c>
      <c r="D44" s="15" t="n">
        <f aca="false">C44*$D$2</f>
        <v>0.84</v>
      </c>
      <c r="E44" s="15" t="n">
        <f aca="false">C44*$F$2</f>
        <v>1.68</v>
      </c>
      <c r="F44" s="16" t="str">
        <f aca="false">IF(D44&gt;$B$2,"On request","Main")</f>
        <v>On request</v>
      </c>
      <c r="G44" s="16" t="str">
        <f aca="false">IF(E44&gt;$B$2,"On request","Main")</f>
        <v>On request</v>
      </c>
    </row>
    <row r="45" customFormat="false" ht="15" hidden="false" customHeight="true" outlineLevel="0" collapsed="false">
      <c r="A45" s="6" t="n">
        <v>5</v>
      </c>
      <c r="B45" s="6" t="n">
        <v>0.5</v>
      </c>
      <c r="C45" s="6" t="n">
        <f aca="false">A45-B45</f>
        <v>4.5</v>
      </c>
      <c r="D45" s="15" t="n">
        <f aca="false">C45*$D$2</f>
        <v>0.9</v>
      </c>
      <c r="E45" s="15" t="n">
        <f aca="false">C45*$F$2</f>
        <v>1.8</v>
      </c>
      <c r="F45" s="16" t="str">
        <f aca="false">IF(D45&gt;$B$2,"On request","Main")</f>
        <v>On request</v>
      </c>
      <c r="G45" s="16" t="str">
        <f aca="false">IF(E45&gt;$B$2,"On request","Main")</f>
        <v>On request</v>
      </c>
    </row>
    <row r="47" customFormat="false" ht="15" hidden="false" customHeight="true" outlineLevel="0" collapsed="false">
      <c r="A47" s="17" t="s">
        <v>26</v>
      </c>
      <c r="B47" s="17"/>
      <c r="C47" s="17"/>
      <c r="D47" s="17"/>
      <c r="E47" s="17"/>
      <c r="F47" s="17"/>
      <c r="G47" s="17"/>
    </row>
    <row r="48" customFormat="false" ht="15" hidden="false" customHeight="true" outlineLevel="0" collapsed="false">
      <c r="A48" s="17"/>
      <c r="B48" s="17"/>
      <c r="C48" s="17"/>
      <c r="D48" s="17"/>
      <c r="E48" s="17"/>
      <c r="F48" s="17"/>
      <c r="G48" s="17"/>
    </row>
    <row r="50" customFormat="false" ht="15" hidden="false" customHeight="false" outlineLevel="0" collapsed="false">
      <c r="A50" s="18" t="s">
        <v>27</v>
      </c>
      <c r="B50" s="18"/>
      <c r="C50" s="18"/>
      <c r="D50" s="18"/>
      <c r="E50" s="18"/>
      <c r="F50" s="18"/>
      <c r="G50" s="18"/>
    </row>
  </sheetData>
  <mergeCells count="4">
    <mergeCell ref="A1:G1"/>
    <mergeCell ref="A3:G3"/>
    <mergeCell ref="A47:G48"/>
    <mergeCell ref="A50:G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14"/>
  </cols>
  <sheetData>
    <row r="1" customFormat="false" ht="15.75" hidden="false" customHeight="true" outlineLevel="0" collapsed="false">
      <c r="A1" s="2" t="s">
        <v>28</v>
      </c>
      <c r="B1" s="2"/>
      <c r="C1" s="2"/>
      <c r="D1" s="2"/>
    </row>
    <row r="2" customFormat="false" ht="15" hidden="false" customHeight="true" outlineLevel="0" collapsed="false">
      <c r="A2" s="3" t="s">
        <v>29</v>
      </c>
      <c r="B2" s="3"/>
      <c r="C2" s="3"/>
      <c r="D2" s="3"/>
    </row>
    <row r="4" customFormat="false" ht="15" hidden="false" customHeight="true" outlineLevel="0" collapsed="false">
      <c r="A4" s="19" t="s">
        <v>30</v>
      </c>
      <c r="B4" s="19"/>
      <c r="C4" s="19"/>
      <c r="D4" s="19"/>
    </row>
    <row r="5" customFormat="false" ht="15" hidden="false" customHeight="true" outlineLevel="0" collapsed="false">
      <c r="A5" s="20" t="s">
        <v>31</v>
      </c>
      <c r="B5" s="20" t="s">
        <v>32</v>
      </c>
      <c r="C5" s="20" t="s">
        <v>33</v>
      </c>
    </row>
    <row r="6" customFormat="false" ht="19.5" hidden="false" customHeight="true" outlineLevel="0" collapsed="false">
      <c r="A6" s="21" t="s">
        <v>34</v>
      </c>
      <c r="B6" s="22" t="n">
        <v>0.8</v>
      </c>
      <c r="C6" s="23" t="s">
        <v>35</v>
      </c>
      <c r="D6" s="23"/>
    </row>
    <row r="7" customFormat="false" ht="19.5" hidden="false" customHeight="true" outlineLevel="0" collapsed="false">
      <c r="A7" s="21" t="s">
        <v>36</v>
      </c>
      <c r="B7" s="22" t="n">
        <v>0.96</v>
      </c>
      <c r="C7" s="23" t="s">
        <v>37</v>
      </c>
      <c r="D7" s="23"/>
    </row>
    <row r="8" customFormat="false" ht="19.5" hidden="false" customHeight="true" outlineLevel="0" collapsed="false">
      <c r="A8" s="24" t="s">
        <v>38</v>
      </c>
      <c r="B8" s="25" t="n">
        <v>1.1</v>
      </c>
      <c r="C8" s="26" t="s">
        <v>39</v>
      </c>
      <c r="D8" s="26"/>
    </row>
    <row r="9" customFormat="false" ht="19.5" hidden="false" customHeight="true" outlineLevel="0" collapsed="false">
      <c r="A9" s="24" t="s">
        <v>40</v>
      </c>
      <c r="B9" s="25" t="n">
        <v>1.2</v>
      </c>
      <c r="C9" s="26" t="s">
        <v>41</v>
      </c>
      <c r="D9" s="26"/>
    </row>
    <row r="10" customFormat="false" ht="19.5" hidden="false" customHeight="true" outlineLevel="0" collapsed="false">
      <c r="A10" s="24" t="s">
        <v>9</v>
      </c>
      <c r="B10" s="25" t="n">
        <v>1.35</v>
      </c>
      <c r="C10" s="26" t="s">
        <v>42</v>
      </c>
      <c r="D10" s="26"/>
    </row>
    <row r="11" customFormat="false" ht="19.5" hidden="false" customHeight="true" outlineLevel="0" collapsed="false">
      <c r="A11" s="24" t="s">
        <v>43</v>
      </c>
      <c r="B11" s="25" t="n">
        <v>1.5</v>
      </c>
      <c r="C11" s="26" t="s">
        <v>44</v>
      </c>
      <c r="D11" s="26"/>
    </row>
    <row r="12" customFormat="false" ht="19.5" hidden="false" customHeight="true" outlineLevel="0" collapsed="false">
      <c r="A12" s="24" t="s">
        <v>45</v>
      </c>
      <c r="B12" s="25" t="n">
        <v>1.8</v>
      </c>
      <c r="C12" s="26" t="s">
        <v>46</v>
      </c>
      <c r="D12" s="26"/>
    </row>
    <row r="13" customFormat="false" ht="19.5" hidden="false" customHeight="true" outlineLevel="0" collapsed="false">
      <c r="A13" s="24" t="s">
        <v>47</v>
      </c>
      <c r="B13" s="25" t="n">
        <v>2.5</v>
      </c>
      <c r="C13" s="26" t="s">
        <v>48</v>
      </c>
      <c r="D13" s="26"/>
    </row>
    <row r="14" customFormat="false" ht="19.5" hidden="false" customHeight="true" outlineLevel="0" collapsed="false">
      <c r="A14" s="24" t="s">
        <v>49</v>
      </c>
      <c r="B14" s="25" t="n">
        <v>3.3</v>
      </c>
      <c r="C14" s="26" t="s">
        <v>50</v>
      </c>
      <c r="D14" s="26"/>
    </row>
    <row r="16" customFormat="false" ht="15" hidden="false" customHeight="true" outlineLevel="0" collapsed="false">
      <c r="A16" s="27" t="s">
        <v>51</v>
      </c>
      <c r="B16" s="28" t="n">
        <v>9</v>
      </c>
      <c r="C16" s="29" t="s">
        <v>52</v>
      </c>
    </row>
    <row r="17" customFormat="false" ht="15" hidden="false" customHeight="true" outlineLevel="0" collapsed="false">
      <c r="A17" s="27" t="s">
        <v>53</v>
      </c>
      <c r="B17" s="30" t="n">
        <f aca="false">ROUNDUP(LN(B16)/LN(2),0)</f>
        <v>4</v>
      </c>
      <c r="C17" s="29" t="s">
        <v>54</v>
      </c>
    </row>
    <row r="19" customFormat="false" ht="15" hidden="false" customHeight="true" outlineLevel="0" collapsed="false">
      <c r="A19" s="19" t="s">
        <v>55</v>
      </c>
      <c r="B19" s="19"/>
      <c r="C19" s="19"/>
      <c r="D19" s="19"/>
    </row>
    <row r="20" customFormat="false" ht="15" hidden="false" customHeight="true" outlineLevel="0" collapsed="false">
      <c r="A20" s="27" t="s">
        <v>56</v>
      </c>
      <c r="B20" s="31" t="n">
        <v>200</v>
      </c>
      <c r="C20" s="29" t="s">
        <v>57</v>
      </c>
    </row>
    <row r="21" customFormat="false" ht="15" hidden="false" customHeight="true" outlineLevel="0" collapsed="false">
      <c r="A21" s="27" t="s">
        <v>58</v>
      </c>
      <c r="B21" s="9" t="n">
        <v>25</v>
      </c>
      <c r="C21" s="29" t="s">
        <v>59</v>
      </c>
    </row>
    <row r="22" customFormat="false" ht="15" hidden="false" customHeight="true" outlineLevel="0" collapsed="false">
      <c r="A22" s="32" t="s">
        <v>60</v>
      </c>
      <c r="B22" s="28" t="n">
        <f aca="false">B20/B21</f>
        <v>8</v>
      </c>
      <c r="C22" s="29" t="s">
        <v>61</v>
      </c>
    </row>
    <row r="23" customFormat="false" ht="15" hidden="false" customHeight="true" outlineLevel="0" collapsed="false">
      <c r="A23" s="32" t="s">
        <v>62</v>
      </c>
      <c r="B23" s="30" t="n">
        <f aca="false">ROUNDUP(LN(B22)/LN(2),0)</f>
        <v>3</v>
      </c>
      <c r="C23" s="29" t="s">
        <v>63</v>
      </c>
    </row>
    <row r="24" customFormat="false" ht="15" hidden="false" customHeight="true" outlineLevel="0" collapsed="false">
      <c r="A24" s="27" t="s">
        <v>64</v>
      </c>
      <c r="B24" s="33" t="n">
        <f aca="false">B17+B23</f>
        <v>7</v>
      </c>
      <c r="C24" s="29" t="s">
        <v>65</v>
      </c>
    </row>
    <row r="26" customFormat="false" ht="15" hidden="false" customHeight="true" outlineLevel="0" collapsed="false">
      <c r="A26" s="27" t="s">
        <v>66</v>
      </c>
      <c r="B26" s="9" t="n">
        <v>6.25</v>
      </c>
      <c r="C26" s="29" t="s">
        <v>67</v>
      </c>
    </row>
    <row r="27" customFormat="false" ht="15" hidden="false" customHeight="true" outlineLevel="0" collapsed="false">
      <c r="A27" s="32" t="s">
        <v>68</v>
      </c>
      <c r="B27" s="28" t="n">
        <f aca="false">ROUNDUP(LN(B20/B26)/LN(2),0)</f>
        <v>5</v>
      </c>
      <c r="C27" s="34"/>
    </row>
    <row r="28" customFormat="false" ht="15" hidden="false" customHeight="true" outlineLevel="0" collapsed="false">
      <c r="A28" s="32" t="s">
        <v>69</v>
      </c>
      <c r="B28" s="30" t="n">
        <f aca="false">B27-B23</f>
        <v>2</v>
      </c>
      <c r="C28" s="29" t="s">
        <v>70</v>
      </c>
    </row>
    <row r="30" customFormat="false" ht="15" hidden="false" customHeight="true" outlineLevel="0" collapsed="false">
      <c r="A30" s="17" t="s">
        <v>71</v>
      </c>
      <c r="B30" s="17"/>
      <c r="C30" s="17"/>
      <c r="D30" s="17"/>
    </row>
    <row r="31" customFormat="false" ht="15" hidden="false" customHeight="true" outlineLevel="0" collapsed="false">
      <c r="A31" s="17"/>
      <c r="B31" s="17"/>
      <c r="C31" s="17"/>
      <c r="D31" s="17"/>
    </row>
    <row r="32" customFormat="false" ht="15" hidden="false" customHeight="true" outlineLevel="0" collapsed="false">
      <c r="A32" s="35" t="s">
        <v>72</v>
      </c>
      <c r="B32" s="35"/>
      <c r="C32" s="35"/>
      <c r="D32" s="35"/>
    </row>
    <row r="33" customFormat="false" ht="15" hidden="false" customHeight="true" outlineLevel="0" collapsed="false">
      <c r="A33" s="35"/>
      <c r="B33" s="35"/>
      <c r="C33" s="35"/>
      <c r="D33" s="35"/>
    </row>
    <row r="34" customFormat="false" ht="15" hidden="false" customHeight="true" outlineLevel="0" collapsed="false">
      <c r="A34" s="35"/>
      <c r="B34" s="35"/>
      <c r="C34" s="35"/>
      <c r="D34" s="35"/>
    </row>
  </sheetData>
  <mergeCells count="15">
    <mergeCell ref="A1:D1"/>
    <mergeCell ref="A2:D2"/>
    <mergeCell ref="A4:D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9:D19"/>
    <mergeCell ref="A30:D31"/>
    <mergeCell ref="A32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2026-07-21T22:15:40Z</dcterms:created>
  <dc:creator>openpyxl</dc:creator>
  <dc:description/>
  <dc:language>en-US</dc:language>
  <cp:lastModifiedBy/>
  <dcterms:modified xsi:type="dcterms:W3CDTF">2026-07-28T11:31:06Z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